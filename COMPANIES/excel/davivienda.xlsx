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f096dcb67a58783/Documentos/SEBASTIAN/Documentos/HV_HTML/COMPANIES/excel/"/>
    </mc:Choice>
  </mc:AlternateContent>
  <xr:revisionPtr revIDLastSave="127" documentId="11_AD4D2F04E46CFB4ACB3E20021552F57A683EDF08" xr6:coauthVersionLast="47" xr6:coauthVersionMax="47" xr10:uidLastSave="{2F292D5E-10A0-4C3E-A6E1-E11998FEEB8C}"/>
  <bookViews>
    <workbookView xWindow="-108" yWindow="-108" windowWidth="23256" windowHeight="12456" activeTab="3" xr2:uid="{00000000-000D-0000-FFFF-FFFF00000000}"/>
  </bookViews>
  <sheets>
    <sheet name="general" sheetId="1" r:id="rId1"/>
    <sheet name="kpis" sheetId="2" r:id="rId2"/>
    <sheet name="trimestres" sheetId="3" r:id="rId3"/>
    <sheet name="resultados" sheetId="4" r:id="rId4"/>
    <sheet name="patrimonio_tecnico" sheetId="6" r:id="rId5"/>
    <sheet name="carter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4" l="1"/>
  <c r="B19" i="4"/>
  <c r="C19" i="4"/>
  <c r="B9" i="4" l="1"/>
  <c r="B13" i="4" s="1"/>
  <c r="C9" i="4"/>
  <c r="C14" i="4" s="1"/>
  <c r="D9" i="4"/>
  <c r="D13" i="4" s="1"/>
  <c r="B15" i="4"/>
  <c r="C15" i="4"/>
  <c r="D15" i="4"/>
  <c r="B16" i="4"/>
  <c r="C16" i="4"/>
  <c r="D16" i="4"/>
  <c r="D19" i="4"/>
  <c r="C8" i="3"/>
  <c r="D8" i="3"/>
  <c r="B8" i="3"/>
  <c r="B8" i="2" s="1"/>
  <c r="D5" i="3"/>
  <c r="C5" i="3"/>
  <c r="B5" i="3"/>
  <c r="B5" i="2" s="1"/>
  <c r="B17" i="6"/>
  <c r="B12" i="6"/>
  <c r="B6" i="2"/>
  <c r="B3" i="2"/>
  <c r="B4" i="2"/>
  <c r="B2" i="2"/>
  <c r="B14" i="4" l="1"/>
  <c r="B11" i="4"/>
  <c r="D9" i="3"/>
  <c r="D14" i="4"/>
  <c r="D11" i="4"/>
  <c r="C9" i="3"/>
  <c r="C13" i="4"/>
  <c r="B9" i="3"/>
  <c r="B9" i="2" s="1"/>
  <c r="C11" i="4"/>
  <c r="C7" i="3"/>
  <c r="D7" i="3"/>
  <c r="B7" i="3"/>
  <c r="B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6" authorId="0" shapeId="0" xr:uid="{3F18FFD9-CF6A-44C5-8D26-EAC6C764D404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 DETERIORADOS + DETERIORADOS</t>
        </r>
      </text>
    </comment>
    <comment ref="A18" authorId="0" shapeId="0" xr:uid="{E2953777-C20E-4808-A91A-205388A907D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ACTIVOS PONDERADOS X NIVEL DE RIRESGO</t>
        </r>
      </text>
    </comment>
    <comment ref="D18" authorId="0" shapeId="0" xr:uid="{1C703DAB-E73D-4BA3-996C-3B2E9192C2D2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cartera N + Operaciones Mercado Monetario +  Inversiones VR + Inversiones Costo Amortizado + Derivados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14057816-1C01-4480-BA53-A1C087DA8899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
</t>
        </r>
      </text>
    </comment>
    <comment ref="A2" authorId="0" shapeId="0" xr:uid="{0D0AA9BE-CCE7-4853-8DA4-7B6DFB4BAA4D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  <comment ref="A3" authorId="0" shapeId="0" xr:uid="{1C639894-B1D9-463B-882D-C16EAC428155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4" authorId="0" shapeId="0" xr:uid="{87AC5C0A-2269-41E5-8B49-EC0DF258A980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5" authorId="0" shapeId="0" xr:uid="{036C4207-277B-4A50-A4BB-AE669BF12C9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 --&gt; seccion patrimonio</t>
        </r>
      </text>
    </comment>
    <comment ref="A6" authorId="0" shapeId="0" xr:uid="{3E7183FA-875A-4FAC-BD2C-9EC63AB9E01F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patrimonio no controladoras</t>
        </r>
      </text>
    </comment>
    <comment ref="A7" authorId="0" shapeId="0" xr:uid="{D6864952-087E-4484-B244-D6C90A1D27E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Otro resultado integral</t>
        </r>
      </text>
    </comment>
    <comment ref="A9" authorId="0" shapeId="0" xr:uid="{1E651DB7-C324-4E8F-858A-BBCD168D052E}">
      <text>
        <r>
          <rPr>
            <b/>
            <sz val="9"/>
            <color indexed="81"/>
            <rFont val="Tahoma"/>
            <charset val="1"/>
          </rPr>
          <t>HACER:
nota 12.2
bonos en cop y en usd
10068111000000+(2142000000*4182) RM 31 de marzo.
No se encontraron los bonso subordinados</t>
        </r>
      </text>
    </comment>
    <comment ref="A11" authorId="0" shapeId="0" xr:uid="{A5145B23-590A-4661-A28C-E87D0268C792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</commentList>
</comments>
</file>

<file path=xl/sharedStrings.xml><?xml version="1.0" encoding="utf-8"?>
<sst xmlns="http://schemas.openxmlformats.org/spreadsheetml/2006/main" count="79" uniqueCount="52">
  <si>
    <t>nombre</t>
  </si>
  <si>
    <t>sector</t>
  </si>
  <si>
    <t>Financiero</t>
  </si>
  <si>
    <t>ticker</t>
  </si>
  <si>
    <t>moneda</t>
  </si>
  <si>
    <t>COP</t>
  </si>
  <si>
    <t>país</t>
  </si>
  <si>
    <t>Colombia</t>
  </si>
  <si>
    <t>campo</t>
  </si>
  <si>
    <t>valor</t>
  </si>
  <si>
    <t>kpi</t>
  </si>
  <si>
    <t>net_income</t>
  </si>
  <si>
    <t>roe</t>
  </si>
  <si>
    <t>roa</t>
  </si>
  <si>
    <t>solvency</t>
  </si>
  <si>
    <t>loan_portfolio</t>
  </si>
  <si>
    <t>npl</t>
  </si>
  <si>
    <t>nim</t>
  </si>
  <si>
    <t>metric</t>
  </si>
  <si>
    <t>Q1 2025</t>
  </si>
  <si>
    <t>Q2 2025</t>
  </si>
  <si>
    <t>Q3 2025</t>
  </si>
  <si>
    <t>Q4 2025</t>
  </si>
  <si>
    <t>deposits</t>
  </si>
  <si>
    <t>assets</t>
  </si>
  <si>
    <t>cartera vencida</t>
  </si>
  <si>
    <t>equity</t>
  </si>
  <si>
    <t>income_interest</t>
  </si>
  <si>
    <t>paid_interest</t>
  </si>
  <si>
    <t>margin_interest</t>
  </si>
  <si>
    <t>operational_costs</t>
  </si>
  <si>
    <t>margin_interest-operational_costs</t>
  </si>
  <si>
    <t>margin_interest/assets</t>
  </si>
  <si>
    <t>operational_costs/margin_interest</t>
  </si>
  <si>
    <t>loans/deposits</t>
  </si>
  <si>
    <t>equity/assets</t>
  </si>
  <si>
    <t>capital_pagado</t>
  </si>
  <si>
    <t>reserva_legal</t>
  </si>
  <si>
    <t>utilidades_retenidas</t>
  </si>
  <si>
    <t>prima_colocacion</t>
  </si>
  <si>
    <t>intereses_minoritarios</t>
  </si>
  <si>
    <t>ajustes_regulacion</t>
  </si>
  <si>
    <t>bonos</t>
  </si>
  <si>
    <t>provisiones</t>
  </si>
  <si>
    <t>-</t>
  </si>
  <si>
    <t>technical_equity</t>
  </si>
  <si>
    <t>APNR</t>
  </si>
  <si>
    <t>average_assets</t>
  </si>
  <si>
    <t>logo</t>
  </si>
  <si>
    <t>Banco Davivienda SA</t>
  </si>
  <si>
    <t>PFDAVVNDA</t>
  </si>
  <si>
    <t>davivienda-logo.png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</si>
</sst>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8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8" fontId="5" fillId="0" borderId="0" xfId="0" applyNumberFormat="1" applyFont="1"/>
    <xf numFmtId="0" fontId="5" fillId="0" borderId="0" xfId="0" applyFont="1"/>
    <xf numFmtId="10" fontId="0" fillId="0" borderId="0" xfId="0" applyNumberFormat="1"/>
    <xf numFmtId="164" fontId="0" fillId="0" borderId="0" xfId="2" applyNumberFormat="1" applyFont="1"/>
    <xf numFmtId="44" fontId="0" fillId="0" borderId="0" xfId="2" applyNumberFormat="1" applyFont="1"/>
    <xf numFmtId="0" fontId="0" fillId="0" borderId="0" xfId="0" applyFont="1"/>
    <xf numFmtId="44" fontId="2" fillId="2" borderId="0" xfId="1" applyFont="1" applyFill="1"/>
    <xf numFmtId="44" fontId="0" fillId="2" borderId="0" xfId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8" sqref="B8"/>
    </sheetView>
  </sheetViews>
  <sheetFormatPr baseColWidth="10" defaultColWidth="8.88671875"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 t="s">
        <v>49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50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48</v>
      </c>
      <c r="B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927D-1315-473E-9521-E6B3743531EF}">
  <dimension ref="A1:E18"/>
  <sheetViews>
    <sheetView workbookViewId="0">
      <selection activeCell="B9" sqref="B9"/>
    </sheetView>
  </sheetViews>
  <sheetFormatPr baseColWidth="10" defaultRowHeight="14.4" x14ac:dyDescent="0.3"/>
  <cols>
    <col min="1" max="1" width="12.77734375" bestFit="1" customWidth="1"/>
    <col min="2" max="2" width="22.88671875" bestFit="1" customWidth="1"/>
  </cols>
  <sheetData>
    <row r="1" spans="1:2" x14ac:dyDescent="0.3">
      <c r="A1" t="s">
        <v>10</v>
      </c>
      <c r="B1" t="s">
        <v>9</v>
      </c>
    </row>
    <row r="2" spans="1:2" x14ac:dyDescent="0.3">
      <c r="A2" t="s">
        <v>11</v>
      </c>
      <c r="B2" s="5">
        <f>+trimestres!B2</f>
        <v>268584000000</v>
      </c>
    </row>
    <row r="3" spans="1:2" x14ac:dyDescent="0.3">
      <c r="A3" t="s">
        <v>12</v>
      </c>
      <c r="B3" s="6">
        <f>+trimestres!B3</f>
        <v>1.6307297822997842E-2</v>
      </c>
    </row>
    <row r="4" spans="1:2" x14ac:dyDescent="0.3">
      <c r="A4" t="s">
        <v>13</v>
      </c>
      <c r="B4" s="6">
        <f>+trimestres!B4</f>
        <v>1.7955446354029371E-3</v>
      </c>
    </row>
    <row r="5" spans="1:2" x14ac:dyDescent="0.3">
      <c r="A5" t="s">
        <v>14</v>
      </c>
      <c r="B5" s="5">
        <f>+trimestres!B5</f>
        <v>0.10605217219285466</v>
      </c>
    </row>
    <row r="6" spans="1:2" x14ac:dyDescent="0.3">
      <c r="A6" t="s">
        <v>15</v>
      </c>
      <c r="B6" s="5">
        <f>+trimestres!B6</f>
        <v>101525475000000</v>
      </c>
    </row>
    <row r="7" spans="1:2" x14ac:dyDescent="0.3">
      <c r="A7" t="s">
        <v>16</v>
      </c>
      <c r="B7" s="6">
        <f>+trimestres!B7</f>
        <v>0</v>
      </c>
    </row>
    <row r="8" spans="1:2" x14ac:dyDescent="0.3">
      <c r="A8" t="s">
        <v>23</v>
      </c>
      <c r="B8" s="11">
        <f>+trimestres!B8</f>
        <v>139652798000000</v>
      </c>
    </row>
    <row r="9" spans="1:2" x14ac:dyDescent="0.3">
      <c r="A9" t="s">
        <v>17</v>
      </c>
      <c r="B9" s="5">
        <f>+trimestres!B9</f>
        <v>1.1908831422441604E-2</v>
      </c>
    </row>
    <row r="18" spans="5:5" x14ac:dyDescent="0.3">
      <c r="E18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6C93-F719-49CD-ABC4-F0EB94B10AC2}">
  <dimension ref="A1:E10"/>
  <sheetViews>
    <sheetView workbookViewId="0">
      <selection activeCell="D4" sqref="D4"/>
    </sheetView>
  </sheetViews>
  <sheetFormatPr baseColWidth="10" defaultRowHeight="14.4" x14ac:dyDescent="0.3"/>
  <cols>
    <col min="1" max="1" width="12.77734375" bestFit="1" customWidth="1"/>
    <col min="2" max="4" width="22.88671875" bestFit="1" customWidth="1"/>
  </cols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11</v>
      </c>
      <c r="B2" s="4">
        <v>268584000000</v>
      </c>
      <c r="C2" s="2">
        <v>430124000000</v>
      </c>
      <c r="D2" s="2">
        <v>393286000000</v>
      </c>
    </row>
    <row r="3" spans="1:5" x14ac:dyDescent="0.3">
      <c r="A3" t="s">
        <v>12</v>
      </c>
      <c r="B3" s="1">
        <v>1.6307297822997842E-2</v>
      </c>
      <c r="C3" s="1">
        <v>2.5325506749774757E-2</v>
      </c>
      <c r="D3" s="1">
        <v>2.2519994005906714E-2</v>
      </c>
    </row>
    <row r="4" spans="1:5" x14ac:dyDescent="0.3">
      <c r="A4" t="s">
        <v>13</v>
      </c>
      <c r="B4" s="1">
        <v>1.7955446354029371E-3</v>
      </c>
      <c r="C4" s="1">
        <v>2.8097934199799316E-3</v>
      </c>
      <c r="D4" s="1">
        <v>2.5236243842102013E-3</v>
      </c>
    </row>
    <row r="5" spans="1:5" x14ac:dyDescent="0.3">
      <c r="A5" t="s">
        <v>14</v>
      </c>
      <c r="B5" s="9">
        <f>+resultados!B17/resultados!B18</f>
        <v>0.10605217219285466</v>
      </c>
      <c r="C5" s="9">
        <f>+resultados!C17/resultados!C18</f>
        <v>9.7544311333387992E-2</v>
      </c>
      <c r="D5" s="9">
        <f>+resultados!D17/resultados!D18</f>
        <v>0.10074793384786332</v>
      </c>
    </row>
    <row r="6" spans="1:5" x14ac:dyDescent="0.3">
      <c r="A6" t="s">
        <v>15</v>
      </c>
      <c r="B6" s="2">
        <v>101525475000000</v>
      </c>
      <c r="C6" s="4">
        <v>102184055000000</v>
      </c>
      <c r="D6" s="4">
        <v>104791203000000</v>
      </c>
    </row>
    <row r="7" spans="1:5" x14ac:dyDescent="0.3">
      <c r="A7" t="s">
        <v>16</v>
      </c>
      <c r="B7" s="6">
        <f>+resultados!B6/resultados!B5</f>
        <v>0</v>
      </c>
      <c r="C7" s="6">
        <f>+resultados!C6/resultados!C5</f>
        <v>0</v>
      </c>
      <c r="D7" s="6">
        <f>+resultados!D6/resultados!D5</f>
        <v>0</v>
      </c>
    </row>
    <row r="8" spans="1:5" x14ac:dyDescent="0.3">
      <c r="A8" t="s">
        <v>23</v>
      </c>
      <c r="B8" s="11">
        <f>+resultados!B4</f>
        <v>139652798000000</v>
      </c>
      <c r="C8" s="11">
        <f>+resultados!C4</f>
        <v>139940054000000</v>
      </c>
      <c r="D8" s="11">
        <f>+resultados!D4</f>
        <v>139515157000000</v>
      </c>
    </row>
    <row r="9" spans="1:5" x14ac:dyDescent="0.3">
      <c r="A9" t="s">
        <v>17</v>
      </c>
      <c r="B9" s="10">
        <f>+resultados!B9/resultados!B19</f>
        <v>1.1908831422441604E-2</v>
      </c>
      <c r="C9" s="10">
        <f>+resultados!C9/resultados!C19</f>
        <v>1.3628937367637038E-2</v>
      </c>
      <c r="D9" s="10">
        <f>+resultados!D9/resultados!D19</f>
        <v>1.3731386717479621E-2</v>
      </c>
    </row>
    <row r="10" spans="1:5" x14ac:dyDescent="0.3">
      <c r="B1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E24-AF94-44F3-BEB2-EA08135E0522}">
  <dimension ref="A1:G19"/>
  <sheetViews>
    <sheetView tabSelected="1" workbookViewId="0">
      <selection activeCell="D18" sqref="D18"/>
    </sheetView>
  </sheetViews>
  <sheetFormatPr baseColWidth="10" defaultRowHeight="14.4" x14ac:dyDescent="0.3"/>
  <cols>
    <col min="1" max="1" width="14.21875" bestFit="1" customWidth="1"/>
    <col min="2" max="2" width="22.88671875" bestFit="1" customWidth="1"/>
    <col min="3" max="4" width="23" bestFit="1" customWidth="1"/>
    <col min="5" max="5" width="19.44140625" bestFit="1" customWidth="1"/>
    <col min="6" max="7" width="20.77734375" bestFit="1" customWidth="1"/>
  </cols>
  <sheetData>
    <row r="1" spans="1:7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7" x14ac:dyDescent="0.3">
      <c r="A2" t="s">
        <v>24</v>
      </c>
      <c r="B2" s="4">
        <v>189875020000000</v>
      </c>
      <c r="C2" s="4">
        <v>189549748000000</v>
      </c>
      <c r="D2" s="4">
        <v>190467909000000</v>
      </c>
    </row>
    <row r="3" spans="1:7" x14ac:dyDescent="0.3">
      <c r="A3" t="s">
        <v>26</v>
      </c>
      <c r="B3" s="4">
        <v>16154329000000</v>
      </c>
      <c r="C3" s="4">
        <v>16411664000000</v>
      </c>
      <c r="D3" s="4">
        <v>16683651000000</v>
      </c>
    </row>
    <row r="4" spans="1:7" x14ac:dyDescent="0.3">
      <c r="A4" t="s">
        <v>23</v>
      </c>
      <c r="B4" s="4">
        <v>139652798000000</v>
      </c>
      <c r="C4" s="4">
        <v>139940054000000</v>
      </c>
      <c r="D4" s="4">
        <v>139515157000000</v>
      </c>
    </row>
    <row r="5" spans="1:7" x14ac:dyDescent="0.3">
      <c r="A5" t="s">
        <v>15</v>
      </c>
      <c r="B5" s="4">
        <v>138088352000000</v>
      </c>
      <c r="C5" s="4">
        <v>139493678000000</v>
      </c>
      <c r="D5" s="4">
        <v>138809895000000</v>
      </c>
    </row>
    <row r="6" spans="1:7" x14ac:dyDescent="0.3">
      <c r="A6" t="s">
        <v>25</v>
      </c>
      <c r="B6" s="13"/>
      <c r="C6" s="14"/>
      <c r="D6" s="14"/>
    </row>
    <row r="7" spans="1:7" x14ac:dyDescent="0.3">
      <c r="A7" t="s">
        <v>27</v>
      </c>
      <c r="B7" s="4">
        <v>4887529000000</v>
      </c>
      <c r="C7" s="4">
        <v>4882100000000</v>
      </c>
      <c r="D7" s="4">
        <v>4872360000000</v>
      </c>
    </row>
    <row r="8" spans="1:7" x14ac:dyDescent="0.3">
      <c r="A8" t="s">
        <v>28</v>
      </c>
      <c r="B8" s="4">
        <v>2617692000000</v>
      </c>
      <c r="C8" s="4">
        <v>2563345000000</v>
      </c>
      <c r="D8" s="4">
        <v>2529871000000</v>
      </c>
    </row>
    <row r="9" spans="1:7" x14ac:dyDescent="0.3">
      <c r="A9" t="s">
        <v>29</v>
      </c>
      <c r="B9" s="5">
        <f>+B7-B8</f>
        <v>2269837000000</v>
      </c>
      <c r="C9" s="5">
        <f t="shared" ref="C9:D9" si="0">+C7-C8</f>
        <v>2318755000000</v>
      </c>
      <c r="D9" s="5">
        <f t="shared" si="0"/>
        <v>2342489000000</v>
      </c>
      <c r="F9" s="5"/>
      <c r="G9" s="5"/>
    </row>
    <row r="10" spans="1:7" x14ac:dyDescent="0.3">
      <c r="A10" t="s">
        <v>30</v>
      </c>
      <c r="B10" s="4">
        <v>1611752000000</v>
      </c>
      <c r="C10" s="4">
        <v>1594416000000</v>
      </c>
      <c r="D10" s="4">
        <v>1630816000000</v>
      </c>
    </row>
    <row r="11" spans="1:7" x14ac:dyDescent="0.3">
      <c r="A11" t="s">
        <v>31</v>
      </c>
      <c r="B11" s="5">
        <f>+B9-B10</f>
        <v>658085000000</v>
      </c>
      <c r="C11" s="5">
        <f t="shared" ref="C11:D11" si="1">+C9-C10</f>
        <v>724339000000</v>
      </c>
      <c r="D11" s="5">
        <f t="shared" si="1"/>
        <v>711673000000</v>
      </c>
    </row>
    <row r="12" spans="1:7" x14ac:dyDescent="0.3">
      <c r="A12" t="s">
        <v>11</v>
      </c>
      <c r="B12" s="4">
        <v>290594000000</v>
      </c>
      <c r="C12" s="4">
        <v>433669000000</v>
      </c>
      <c r="D12" s="4">
        <v>373601000000</v>
      </c>
    </row>
    <row r="13" spans="1:7" x14ac:dyDescent="0.3">
      <c r="A13" t="s">
        <v>32</v>
      </c>
      <c r="B13" s="6">
        <f>+B9/B2</f>
        <v>1.1954373987689376E-2</v>
      </c>
      <c r="C13" s="6">
        <f>+C9/C2</f>
        <v>1.2232962715413369E-2</v>
      </c>
      <c r="D13" s="6">
        <f>+D9/D2</f>
        <v>1.2298601965541608E-2</v>
      </c>
    </row>
    <row r="14" spans="1:7" x14ac:dyDescent="0.3">
      <c r="A14" t="s">
        <v>33</v>
      </c>
      <c r="B14" s="6">
        <f>+B10/B9</f>
        <v>0.71007389517397068</v>
      </c>
      <c r="C14" s="6">
        <f t="shared" ref="C14:D14" si="2">+C10/C9</f>
        <v>0.68761727737514311</v>
      </c>
      <c r="D14" s="6">
        <f t="shared" si="2"/>
        <v>0.69618939512629519</v>
      </c>
    </row>
    <row r="15" spans="1:7" x14ac:dyDescent="0.3">
      <c r="A15" t="s">
        <v>34</v>
      </c>
      <c r="B15" s="6">
        <f>+B5/B4</f>
        <v>0.98879760361120728</v>
      </c>
      <c r="C15" s="6">
        <f t="shared" ref="C15:D15" si="3">+C5/C4</f>
        <v>0.99681023418784731</v>
      </c>
      <c r="D15" s="6">
        <f t="shared" si="3"/>
        <v>0.99494490767049781</v>
      </c>
    </row>
    <row r="16" spans="1:7" x14ac:dyDescent="0.3">
      <c r="A16" t="s">
        <v>35</v>
      </c>
      <c r="B16" s="6">
        <f>+B3/B2</f>
        <v>8.5078748115470906E-2</v>
      </c>
      <c r="C16" s="6">
        <f t="shared" ref="C16:D16" si="4">+C3/C2</f>
        <v>8.6582357260638509E-2</v>
      </c>
      <c r="D16" s="6">
        <f t="shared" si="4"/>
        <v>8.7592976095516431E-2</v>
      </c>
    </row>
    <row r="17" spans="1:5" x14ac:dyDescent="0.3">
      <c r="A17" t="s">
        <v>45</v>
      </c>
      <c r="B17" s="2">
        <v>15946180000000</v>
      </c>
      <c r="C17" s="4">
        <v>16206766000000</v>
      </c>
      <c r="D17" s="2">
        <v>16476950000000</v>
      </c>
    </row>
    <row r="18" spans="1:5" x14ac:dyDescent="0.3">
      <c r="A18" t="s">
        <v>46</v>
      </c>
      <c r="B18" s="2">
        <v>150361653800000</v>
      </c>
      <c r="C18" s="2">
        <v>166147731000000</v>
      </c>
      <c r="D18" s="2">
        <f>138803895000000+1998405000000+17158341000000+4655258000000+930383000000</f>
        <v>163546282000000</v>
      </c>
      <c r="E18" s="2"/>
    </row>
    <row r="19" spans="1:5" x14ac:dyDescent="0.3">
      <c r="A19" t="s">
        <v>47</v>
      </c>
      <c r="B19" s="2">
        <f>+(191327286000000+B2)/2</f>
        <v>190601153000000</v>
      </c>
      <c r="C19" s="2">
        <f t="shared" ref="C19:D19" si="5">+(150719627000000+C2)/2</f>
        <v>170134687500000</v>
      </c>
      <c r="D19" s="2">
        <f t="shared" si="5"/>
        <v>170593768000000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730D-2BB0-46CA-9364-B472D6AB6563}">
  <dimension ref="A1:E19"/>
  <sheetViews>
    <sheetView workbookViewId="0">
      <selection activeCell="B19" sqref="B19"/>
    </sheetView>
  </sheetViews>
  <sheetFormatPr baseColWidth="10" defaultRowHeight="14.4" x14ac:dyDescent="0.3"/>
  <cols>
    <col min="1" max="1" width="17.44140625" bestFit="1" customWidth="1"/>
    <col min="2" max="2" width="20.88671875" bestFit="1" customWidth="1"/>
  </cols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36</v>
      </c>
      <c r="B2" s="2">
        <v>3553000000</v>
      </c>
      <c r="C2" t="s">
        <v>44</v>
      </c>
    </row>
    <row r="3" spans="1:5" x14ac:dyDescent="0.3">
      <c r="A3" t="s">
        <v>37</v>
      </c>
      <c r="B3" s="2">
        <v>4009803000000</v>
      </c>
      <c r="C3" t="s">
        <v>44</v>
      </c>
    </row>
    <row r="4" spans="1:5" x14ac:dyDescent="0.3">
      <c r="A4" t="s">
        <v>38</v>
      </c>
      <c r="B4" s="2">
        <v>-269924000000</v>
      </c>
      <c r="C4" t="s">
        <v>44</v>
      </c>
    </row>
    <row r="5" spans="1:5" x14ac:dyDescent="0.3">
      <c r="A5" t="s">
        <v>39</v>
      </c>
      <c r="B5" s="2">
        <v>6781641000000</v>
      </c>
      <c r="C5" t="s">
        <v>44</v>
      </c>
    </row>
    <row r="6" spans="1:5" x14ac:dyDescent="0.3">
      <c r="A6" t="s">
        <v>40</v>
      </c>
      <c r="B6" s="2">
        <v>58938000000</v>
      </c>
      <c r="C6" t="s">
        <v>44</v>
      </c>
    </row>
    <row r="7" spans="1:5" x14ac:dyDescent="0.3">
      <c r="A7" t="s">
        <v>41</v>
      </c>
      <c r="B7" s="2">
        <v>7731000000</v>
      </c>
      <c r="C7" t="s">
        <v>44</v>
      </c>
    </row>
    <row r="8" spans="1:5" x14ac:dyDescent="0.3">
      <c r="B8" s="2"/>
    </row>
    <row r="9" spans="1:5" x14ac:dyDescent="0.3">
      <c r="A9" t="s">
        <v>42</v>
      </c>
      <c r="B9" s="2">
        <v>19025955000000</v>
      </c>
    </row>
    <row r="10" spans="1:5" x14ac:dyDescent="0.3">
      <c r="A10" t="s">
        <v>43</v>
      </c>
      <c r="B10" s="2">
        <v>41769000000</v>
      </c>
    </row>
    <row r="11" spans="1:5" x14ac:dyDescent="0.3"/>
    <row r="12" spans="1:5" x14ac:dyDescent="0.3">
      <c r="B12" s="2">
        <f>SUM(B2:B7)</f>
        <v>10591742000000</v>
      </c>
    </row>
    <row r="14" spans="1:5" x14ac:dyDescent="0.3">
      <c r="B14" s="4">
        <v>4706623000000</v>
      </c>
    </row>
    <row r="15" spans="1:5" x14ac:dyDescent="0.3">
      <c r="B15" s="4">
        <v>536556000000</v>
      </c>
    </row>
    <row r="16" spans="1:5" x14ac:dyDescent="0.3">
      <c r="B16" s="4">
        <v>368131000000</v>
      </c>
    </row>
    <row r="17" spans="2:2" x14ac:dyDescent="0.3">
      <c r="B17" s="7">
        <f>+B12+B14+B15+B16</f>
        <v>16203052000000</v>
      </c>
    </row>
    <row r="18" spans="2:2" x14ac:dyDescent="0.3">
      <c r="B18" s="8"/>
    </row>
    <row r="19" spans="2:2" x14ac:dyDescent="0.3">
      <c r="B19" s="7">
        <v>16411234000000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3F72-1503-41C1-BA21-5979CBCAAE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general</vt:lpstr>
      <vt:lpstr>kpis</vt:lpstr>
      <vt:lpstr>trimestres</vt:lpstr>
      <vt:lpstr>resultados</vt:lpstr>
      <vt:lpstr>patrimonio_tecnico</vt:lpstr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Johan Sebastian Muñoz Moyano</cp:lastModifiedBy>
  <dcterms:created xsi:type="dcterms:W3CDTF">2015-06-05T18:19:34Z</dcterms:created>
  <dcterms:modified xsi:type="dcterms:W3CDTF">2026-03-19T22:33:40Z</dcterms:modified>
</cp:coreProperties>
</file>